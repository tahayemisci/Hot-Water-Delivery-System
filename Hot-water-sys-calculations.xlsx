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tahay\Desktop\Ders Notları\Fluid Mechanics\"/>
    </mc:Choice>
  </mc:AlternateContent>
  <xr:revisionPtr revIDLastSave="0" documentId="13_ncr:1_{A25053FA-B990-4E1C-8719-5A380CDCD0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1" l="1"/>
  <c r="C78" i="1"/>
  <c r="B78" i="1"/>
  <c r="C77" i="1"/>
  <c r="B77" i="1"/>
  <c r="C76" i="1"/>
  <c r="B76" i="1"/>
  <c r="C75" i="1"/>
  <c r="B75" i="1"/>
  <c r="C74" i="1"/>
  <c r="B74" i="1"/>
  <c r="C73" i="1"/>
  <c r="B73" i="1"/>
  <c r="D73" i="1" s="1"/>
  <c r="E73" i="1" s="1"/>
  <c r="F73" i="1" s="1"/>
  <c r="C72" i="1"/>
  <c r="B72" i="1"/>
  <c r="C71" i="1"/>
  <c r="B71" i="1"/>
  <c r="C70" i="1"/>
  <c r="B70" i="1"/>
  <c r="C69" i="1"/>
  <c r="D69" i="1" s="1"/>
  <c r="E69" i="1" s="1"/>
  <c r="F69" i="1" s="1"/>
  <c r="B69" i="1"/>
  <c r="C68" i="1"/>
  <c r="B68" i="1"/>
  <c r="B3" i="1"/>
  <c r="C3" i="1"/>
  <c r="D3" i="1" s="1"/>
  <c r="E3" i="1" s="1"/>
  <c r="F3" i="1" s="1"/>
  <c r="J3" i="1" s="1"/>
  <c r="B2" i="1"/>
  <c r="C2" i="1"/>
  <c r="B10" i="1"/>
  <c r="C10" i="1"/>
  <c r="B8" i="1"/>
  <c r="B13" i="1"/>
  <c r="B12" i="1"/>
  <c r="B11" i="1"/>
  <c r="B9" i="1"/>
  <c r="B7" i="1"/>
  <c r="B6" i="1"/>
  <c r="B5" i="1"/>
  <c r="B4" i="1"/>
  <c r="C12" i="1"/>
  <c r="C13" i="1"/>
  <c r="C11" i="1"/>
  <c r="C9" i="1"/>
  <c r="C8" i="1"/>
  <c r="C7" i="1"/>
  <c r="C6" i="1"/>
  <c r="C5" i="1"/>
  <c r="C4" i="1"/>
  <c r="D71" i="1" l="1"/>
  <c r="E71" i="1" s="1"/>
  <c r="F71" i="1" s="1"/>
  <c r="D2" i="1"/>
  <c r="D74" i="1"/>
  <c r="E74" i="1" s="1"/>
  <c r="F74" i="1" s="1"/>
  <c r="D75" i="1"/>
  <c r="E75" i="1" s="1"/>
  <c r="F75" i="1" s="1"/>
  <c r="D76" i="1"/>
  <c r="E76" i="1" s="1"/>
  <c r="F76" i="1" s="1"/>
  <c r="D72" i="1"/>
  <c r="E72" i="1" s="1"/>
  <c r="F72" i="1" s="1"/>
  <c r="D68" i="1"/>
  <c r="E68" i="1" s="1"/>
  <c r="F68" i="1" s="1"/>
  <c r="D77" i="1"/>
  <c r="E77" i="1" s="1"/>
  <c r="F77" i="1" s="1"/>
  <c r="D70" i="1"/>
  <c r="E70" i="1" s="1"/>
  <c r="F70" i="1" s="1"/>
  <c r="D78" i="1"/>
  <c r="E78" i="1" s="1"/>
  <c r="F78" i="1" s="1"/>
  <c r="D12" i="1"/>
  <c r="L3" i="1" s="1"/>
  <c r="D11" i="1"/>
  <c r="E11" i="1" s="1"/>
  <c r="F11" i="1" s="1"/>
  <c r="D10" i="1"/>
  <c r="E10" i="1" s="1"/>
  <c r="F10" i="1" s="1"/>
  <c r="J6" i="1" s="1"/>
  <c r="D13" i="1"/>
  <c r="L10" i="1" s="1"/>
  <c r="D8" i="1"/>
  <c r="E12" i="1"/>
  <c r="F12" i="1" s="1"/>
  <c r="J7" i="1" s="1"/>
  <c r="E2" i="1"/>
  <c r="F2" i="1" s="1"/>
  <c r="J2" i="1" s="1"/>
  <c r="L2" i="1"/>
  <c r="D6" i="1"/>
  <c r="D7" i="1"/>
  <c r="E7" i="1" s="1"/>
  <c r="F7" i="1" s="1"/>
  <c r="D5" i="1"/>
  <c r="E5" i="1" s="1"/>
  <c r="F5" i="1" s="1"/>
  <c r="J4" i="1" s="1"/>
  <c r="D4" i="1"/>
  <c r="D9" i="1"/>
  <c r="E9" i="1" s="1"/>
  <c r="F9" i="1" s="1"/>
  <c r="M8" i="1" l="1"/>
  <c r="L8" i="1"/>
  <c r="E13" i="1"/>
  <c r="F13" i="1" s="1"/>
  <c r="J8" i="1" s="1"/>
  <c r="J15" i="1" s="1"/>
  <c r="E4" i="1"/>
  <c r="F4" i="1" s="1"/>
  <c r="M5" i="1"/>
  <c r="L6" i="1"/>
  <c r="E6" i="1"/>
  <c r="F6" i="1" s="1"/>
  <c r="M6" i="1"/>
  <c r="K17" i="1" s="1"/>
  <c r="M7" i="1"/>
  <c r="K16" i="1" s="1"/>
  <c r="L7" i="1"/>
  <c r="E8" i="1"/>
  <c r="F8" i="1" s="1"/>
  <c r="J5" i="1" s="1"/>
  <c r="K15" i="1"/>
  <c r="K18" i="1" l="1"/>
  <c r="L15" i="1"/>
  <c r="M15" i="1" s="1"/>
  <c r="J16" i="1" l="1"/>
  <c r="L16" i="1" s="1"/>
  <c r="J17" i="1" l="1"/>
  <c r="L17" i="1" s="1"/>
  <c r="M16" i="1"/>
  <c r="M17" i="1" l="1"/>
  <c r="J18" i="1"/>
  <c r="L18" i="1" s="1"/>
  <c r="M18" i="1" s="1"/>
  <c r="L21" i="1"/>
  <c r="L22" i="1" s="1"/>
</calcChain>
</file>

<file path=xl/sharedStrings.xml><?xml version="1.0" encoding="utf-8"?>
<sst xmlns="http://schemas.openxmlformats.org/spreadsheetml/2006/main" count="42" uniqueCount="35">
  <si>
    <t>g</t>
  </si>
  <si>
    <t>Mu</t>
  </si>
  <si>
    <t>Ro</t>
  </si>
  <si>
    <t>No\Property</t>
  </si>
  <si>
    <t>Re</t>
  </si>
  <si>
    <t>f</t>
  </si>
  <si>
    <t>Bends</t>
  </si>
  <si>
    <t>Pipes</t>
  </si>
  <si>
    <t>Tees</t>
  </si>
  <si>
    <t>All</t>
  </si>
  <si>
    <t>Radiators</t>
  </si>
  <si>
    <t>h_loss,total</t>
  </si>
  <si>
    <t>Loop</t>
  </si>
  <si>
    <t>1 (5-4)</t>
  </si>
  <si>
    <t>2 (4-3)</t>
  </si>
  <si>
    <t>3 (3-2)</t>
  </si>
  <si>
    <t>4 (2-1)</t>
  </si>
  <si>
    <t>h_loss,valve</t>
  </si>
  <si>
    <t>k_valve</t>
  </si>
  <si>
    <t>h_loss,branch1</t>
  </si>
  <si>
    <t>h_loss,branch2</t>
  </si>
  <si>
    <t>h_loss,total = h_pump</t>
  </si>
  <si>
    <t>Unit</t>
  </si>
  <si>
    <t>m</t>
  </si>
  <si>
    <t>h_p*gamma*V_d=P</t>
  </si>
  <si>
    <t>W</t>
  </si>
  <si>
    <t>Pompatech - Online Su Pompası ve Hidroforları Mağazası</t>
  </si>
  <si>
    <t>Diameter (m)</t>
  </si>
  <si>
    <t>Flow Rate (m^3/s)</t>
  </si>
  <si>
    <t>Velocity (m/s)</t>
  </si>
  <si>
    <t>Length (m)</t>
  </si>
  <si>
    <t>h_loss,major (m)</t>
  </si>
  <si>
    <t>h_loss,minor (m)</t>
  </si>
  <si>
    <t>h_loss,Vertical (m)</t>
  </si>
  <si>
    <t>h_loss,Horizontal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</si>
</sst>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0"/>
    <numFmt numFmtId="166" formatCode="0.0000"/>
    <numFmt numFmtId="167" formatCode="0.0000000"/>
  </numFmts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2" fillId="2" borderId="1" xfId="0" applyFont="1" applyFill="1" applyBorder="1"/>
    <xf numFmtId="2" fontId="0" fillId="0" borderId="1" xfId="0" applyNumberFormat="1" applyBorder="1"/>
    <xf numFmtId="164" fontId="0" fillId="0" borderId="1" xfId="0" applyNumberFormat="1" applyBorder="1"/>
    <xf numFmtId="0" fontId="0" fillId="2" borderId="3" xfId="0" applyFill="1" applyBorder="1"/>
    <xf numFmtId="0" fontId="0" fillId="2" borderId="2" xfId="0" applyFill="1" applyBorder="1"/>
    <xf numFmtId="165" fontId="0" fillId="0" borderId="1" xfId="0" applyNumberFormat="1" applyBorder="1"/>
    <xf numFmtId="0" fontId="1" fillId="0" borderId="0" xfId="1"/>
    <xf numFmtId="0" fontId="0" fillId="3" borderId="4" xfId="0" applyFill="1" applyBorder="1"/>
    <xf numFmtId="0" fontId="0" fillId="3" borderId="6" xfId="0" applyFill="1" applyBorder="1"/>
    <xf numFmtId="0" fontId="0" fillId="3" borderId="8" xfId="0" applyFill="1" applyBorder="1"/>
    <xf numFmtId="2" fontId="0" fillId="2" borderId="5" xfId="0" applyNumberFormat="1" applyFill="1" applyBorder="1"/>
    <xf numFmtId="11" fontId="0" fillId="2" borderId="7" xfId="0" applyNumberFormat="1" applyFill="1" applyBorder="1"/>
    <xf numFmtId="2" fontId="0" fillId="2" borderId="9" xfId="0" applyNumberFormat="1" applyFill="1" applyBorder="1"/>
    <xf numFmtId="166" fontId="0" fillId="0" borderId="1" xfId="0" applyNumberFormat="1" applyBorder="1"/>
    <xf numFmtId="167" fontId="0" fillId="0" borderId="1" xfId="0" applyNumberFormat="1" applyBorder="1"/>
    <xf numFmtId="0" fontId="0" fillId="2" borderId="1" xfId="0" applyFill="1" applyBorder="1" applyAlignment="1">
      <alignment horizontal="center"/>
    </xf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</xdr:row>
      <xdr:rowOff>167640</xdr:rowOff>
    </xdr:from>
    <xdr:to>
      <xdr:col>8</xdr:col>
      <xdr:colOff>144499</xdr:colOff>
      <xdr:row>34</xdr:row>
      <xdr:rowOff>152652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1D4A054A-AEE0-A3E6-B7CC-E589E8C386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459480"/>
          <a:ext cx="6645216" cy="291109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8</xdr:col>
      <xdr:colOff>56949</xdr:colOff>
      <xdr:row>51</xdr:row>
      <xdr:rowOff>137410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DDA1EB17-E875-C0C3-CCC8-D6E338CA64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583680"/>
          <a:ext cx="6553768" cy="2880610"/>
        </a:xfrm>
        <a:prstGeom prst="rect">
          <a:avLst/>
        </a:prstGeom>
      </xdr:spPr>
    </xdr:pic>
    <xdr:clientData/>
  </xdr:twoCellAnchor>
  <xdr:twoCellAnchor editAs="oneCell">
    <xdr:from>
      <xdr:col>13</xdr:col>
      <xdr:colOff>32657</xdr:colOff>
      <xdr:row>19</xdr:row>
      <xdr:rowOff>54428</xdr:rowOff>
    </xdr:from>
    <xdr:to>
      <xdr:col>21</xdr:col>
      <xdr:colOff>579607</xdr:colOff>
      <xdr:row>52</xdr:row>
      <xdr:rowOff>77814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585CF392-086B-9780-6E4C-2356349BA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308771" y="3570514"/>
          <a:ext cx="5641466" cy="61302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pompatech.com.t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8"/>
  <sheetViews>
    <sheetView tabSelected="1" topLeftCell="I1" zoomScale="115" zoomScaleNormal="115" workbookViewId="0">
      <selection activeCell="O5" sqref="O5"/>
    </sheetView>
  </sheetViews>
  <sheetFormatPr defaultRowHeight="14.4" x14ac:dyDescent="0.3"/>
  <cols>
    <col min="1" max="1" width="11" customWidth="1"/>
    <col min="2" max="2" width="14" customWidth="1"/>
    <col min="3" max="3" width="17.77734375" customWidth="1"/>
    <col min="4" max="4" width="13.5546875" customWidth="1"/>
    <col min="5" max="5" width="10.6640625" customWidth="1"/>
    <col min="6" max="6" width="10.109375" customWidth="1"/>
    <col min="8" max="8" width="8.77734375" customWidth="1"/>
    <col min="9" max="9" width="11.88671875" customWidth="1"/>
    <col min="10" max="10" width="15.5546875" customWidth="1"/>
    <col min="11" max="11" width="18.33203125" customWidth="1"/>
    <col min="12" max="12" width="16.6640625" customWidth="1"/>
    <col min="13" max="13" width="21.77734375" customWidth="1"/>
    <col min="14" max="14" width="12" customWidth="1"/>
  </cols>
  <sheetData>
    <row r="1" spans="1:18" x14ac:dyDescent="0.3">
      <c r="A1" s="4" t="s">
        <v>3</v>
      </c>
      <c r="B1" s="2" t="s">
        <v>27</v>
      </c>
      <c r="C1" s="2" t="s">
        <v>28</v>
      </c>
      <c r="D1" s="2" t="s">
        <v>29</v>
      </c>
      <c r="E1" s="2" t="s">
        <v>4</v>
      </c>
      <c r="F1" s="2" t="s">
        <v>5</v>
      </c>
      <c r="H1" s="8" t="s">
        <v>7</v>
      </c>
      <c r="I1" s="7" t="s">
        <v>30</v>
      </c>
      <c r="J1" s="8" t="s">
        <v>31</v>
      </c>
      <c r="K1" s="2" t="s">
        <v>6</v>
      </c>
      <c r="L1" s="2" t="s">
        <v>32</v>
      </c>
      <c r="Q1" s="11" t="s">
        <v>0</v>
      </c>
      <c r="R1" s="14">
        <v>9.81</v>
      </c>
    </row>
    <row r="2" spans="1:18" x14ac:dyDescent="0.3">
      <c r="A2" s="3">
        <v>1</v>
      </c>
      <c r="B2" s="1">
        <f>26.6*10^-3</f>
        <v>2.6600000000000002E-2</v>
      </c>
      <c r="C2" s="1">
        <f>1.5*(1/3600)</f>
        <v>4.1666666666666664E-4</v>
      </c>
      <c r="D2" s="6">
        <f>C2/(PI()*(B2/2)^2)</f>
        <v>0.74978302472296965</v>
      </c>
      <c r="E2" s="5">
        <f t="shared" ref="E2:E13" si="0">($R$3*D2*B2)/$R$2</f>
        <v>36024.308227986432</v>
      </c>
      <c r="F2" s="1">
        <f>(1/(-1.8*LOG10(((0/3.7)^1.1)+(6.9/E2))))^2</f>
        <v>2.2330344805022304E-2</v>
      </c>
      <c r="H2" s="1">
        <v>1</v>
      </c>
      <c r="I2" s="1">
        <v>10</v>
      </c>
      <c r="J2" s="1">
        <f>(F2*(D2^2)*I2)/(2*$R$1*B2)</f>
        <v>0.2405392745045658</v>
      </c>
      <c r="K2" s="1">
        <v>1</v>
      </c>
      <c r="L2" s="1">
        <f>0.3*((D2^2)/(2*$R$1))</f>
        <v>8.5959416538643023E-3</v>
      </c>
      <c r="Q2" s="12" t="s">
        <v>1</v>
      </c>
      <c r="R2" s="15">
        <v>5.4699999999999996E-4</v>
      </c>
    </row>
    <row r="3" spans="1:18" ht="15" thickBot="1" x14ac:dyDescent="0.35">
      <c r="A3" s="3">
        <v>2</v>
      </c>
      <c r="B3" s="1">
        <f t="shared" ref="B3:B4" si="1">26.6*10^-3</f>
        <v>2.6600000000000002E-2</v>
      </c>
      <c r="C3" s="1">
        <f t="shared" ref="C3:C4" si="2">1.5*(1/3600)</f>
        <v>4.1666666666666664E-4</v>
      </c>
      <c r="D3" s="6">
        <f t="shared" ref="D3:D13" si="3">C3/(PI()*(B3/2)^2)</f>
        <v>0.74978302472296965</v>
      </c>
      <c r="E3" s="5">
        <f t="shared" si="0"/>
        <v>36024.308227986432</v>
      </c>
      <c r="F3" s="1">
        <f t="shared" ref="F3:F13" si="4">(1/(-1.8*LOG10(((0/3.7)^1.1)+(6.9/E3))))^2</f>
        <v>2.2330344805022304E-2</v>
      </c>
      <c r="H3" s="1">
        <v>2</v>
      </c>
      <c r="I3" s="1">
        <v>5</v>
      </c>
      <c r="J3" s="1">
        <f>(F3*(D3^2)*I3)/(2*$R$1*B3)</f>
        <v>0.1202696372522829</v>
      </c>
      <c r="K3" s="1">
        <v>2</v>
      </c>
      <c r="L3" s="1">
        <f>0.3*((D12^2)/(2*$R$1))</f>
        <v>5.670015838255822E-3</v>
      </c>
      <c r="Q3" s="13" t="s">
        <v>2</v>
      </c>
      <c r="R3" s="16">
        <v>988.02</v>
      </c>
    </row>
    <row r="4" spans="1:18" x14ac:dyDescent="0.3">
      <c r="A4" s="3">
        <v>3</v>
      </c>
      <c r="B4" s="1">
        <f t="shared" si="1"/>
        <v>2.6600000000000002E-2</v>
      </c>
      <c r="C4" s="1">
        <f t="shared" si="2"/>
        <v>4.1666666666666664E-4</v>
      </c>
      <c r="D4" s="6">
        <f t="shared" si="3"/>
        <v>0.74978302472296965</v>
      </c>
      <c r="E4" s="5">
        <f t="shared" si="0"/>
        <v>36024.308227986432</v>
      </c>
      <c r="F4" s="1">
        <f t="shared" si="4"/>
        <v>2.2330344805022304E-2</v>
      </c>
      <c r="H4" s="1">
        <v>3</v>
      </c>
      <c r="I4" s="1">
        <v>3.5</v>
      </c>
      <c r="J4" s="1">
        <f>(F5*(D5^2)*I4)/(2*$R$1*B5)</f>
        <v>0.14006493157538641</v>
      </c>
      <c r="K4" s="2" t="s">
        <v>8</v>
      </c>
      <c r="L4" s="2" t="s">
        <v>33</v>
      </c>
      <c r="M4" s="2" t="s">
        <v>34</v>
      </c>
    </row>
    <row r="5" spans="1:18" x14ac:dyDescent="0.3">
      <c r="A5" s="3">
        <v>4</v>
      </c>
      <c r="B5" s="1">
        <f>13.2*10^-3</f>
        <v>1.32E-2</v>
      </c>
      <c r="C5" s="1">
        <f>0.3*(1/3600)</f>
        <v>8.3333333333333331E-5</v>
      </c>
      <c r="D5" s="6">
        <f t="shared" si="3"/>
        <v>0.60894912416550107</v>
      </c>
      <c r="E5" s="5">
        <f t="shared" si="0"/>
        <v>14518.887861582412</v>
      </c>
      <c r="F5" s="1">
        <f t="shared" si="4"/>
        <v>2.7949386731929964E-2</v>
      </c>
      <c r="H5" s="1">
        <v>4</v>
      </c>
      <c r="I5" s="1">
        <v>3.5</v>
      </c>
      <c r="J5" s="1">
        <f>(F8*(D8^2)*I5)/(2*$R$1*B8)</f>
        <v>0.10082811256758802</v>
      </c>
      <c r="K5" s="1">
        <v>1</v>
      </c>
      <c r="L5" s="1">
        <f>0.2*(($D$4^2)/(2*$R$1))</f>
        <v>5.7306277692428685E-3</v>
      </c>
      <c r="M5" s="1">
        <f>1*(($D$4^2)/(2*$R$1))</f>
        <v>2.865313884621434E-2</v>
      </c>
      <c r="O5" s="10" t="s">
        <v>26</v>
      </c>
    </row>
    <row r="6" spans="1:18" x14ac:dyDescent="0.3">
      <c r="A6" s="3">
        <v>5</v>
      </c>
      <c r="B6" s="1">
        <f>26.6*10^-3</f>
        <v>2.6600000000000002E-2</v>
      </c>
      <c r="C6" s="1">
        <f>1.2*(1/3600)</f>
        <v>3.3333333333333332E-4</v>
      </c>
      <c r="D6" s="6">
        <f t="shared" si="3"/>
        <v>0.59982641977837581</v>
      </c>
      <c r="E6" s="5">
        <f t="shared" si="0"/>
        <v>28819.446582389148</v>
      </c>
      <c r="F6" s="1">
        <f t="shared" si="4"/>
        <v>2.3541663604700488E-2</v>
      </c>
      <c r="H6" s="1">
        <v>5</v>
      </c>
      <c r="I6" s="1">
        <v>3.5</v>
      </c>
      <c r="J6" s="1">
        <f>(F10*(D10^2)*I6)/(2*$R$1*B10)</f>
        <v>0.15833851151002279</v>
      </c>
      <c r="K6" s="1">
        <v>2</v>
      </c>
      <c r="L6" s="1">
        <f>0.2*(($D$6^2)/(2*$R$1))</f>
        <v>3.6676017723154364E-3</v>
      </c>
      <c r="M6" s="1">
        <f>1*(($D$6^2)/(2*$R$1))</f>
        <v>1.8338008861577181E-2</v>
      </c>
    </row>
    <row r="7" spans="1:18" x14ac:dyDescent="0.3">
      <c r="A7" s="3">
        <v>6</v>
      </c>
      <c r="B7" s="1">
        <f>13.2*10^-3</f>
        <v>1.32E-2</v>
      </c>
      <c r="C7" s="1">
        <f>0.3*(1/3600)</f>
        <v>8.3333333333333331E-5</v>
      </c>
      <c r="D7" s="6">
        <f t="shared" si="3"/>
        <v>0.60894912416550107</v>
      </c>
      <c r="E7" s="5">
        <f t="shared" si="0"/>
        <v>14518.887861582412</v>
      </c>
      <c r="F7" s="1">
        <f t="shared" si="4"/>
        <v>2.7949386731929964E-2</v>
      </c>
      <c r="H7" s="1">
        <v>6</v>
      </c>
      <c r="I7" s="1">
        <v>3.5</v>
      </c>
      <c r="J7" s="1">
        <f>(F12*(D12^2)*I7)/(2*$R$1*B12)</f>
        <v>0.14006493157538641</v>
      </c>
      <c r="K7" s="1">
        <v>3</v>
      </c>
      <c r="L7" s="1">
        <f>0.2*(($D$8^2)/(2*$R$1))</f>
        <v>5.1131414064010915E-3</v>
      </c>
      <c r="M7" s="1">
        <f>1*(($D$8^2)/(2*$R$1))</f>
        <v>2.5565707032005457E-2</v>
      </c>
    </row>
    <row r="8" spans="1:18" x14ac:dyDescent="0.3">
      <c r="A8" s="3">
        <v>7</v>
      </c>
      <c r="B8" s="1">
        <f>21.2*10^-3</f>
        <v>2.12E-2</v>
      </c>
      <c r="C8" s="1">
        <f>0.9*(1/3600)</f>
        <v>2.5000000000000001E-4</v>
      </c>
      <c r="D8" s="6">
        <f t="shared" si="3"/>
        <v>0.70823666381227901</v>
      </c>
      <c r="E8" s="5">
        <f t="shared" si="0"/>
        <v>27120.186760314311</v>
      </c>
      <c r="F8" s="1">
        <f t="shared" si="4"/>
        <v>2.3888652133633326E-2</v>
      </c>
      <c r="H8" s="1">
        <v>7</v>
      </c>
      <c r="I8" s="1">
        <v>10</v>
      </c>
      <c r="J8" s="1">
        <f>(F13*I8*(D13^2))/(2*$R$1*B13)</f>
        <v>0.40018551878681835</v>
      </c>
      <c r="K8" s="1">
        <v>4</v>
      </c>
      <c r="L8" s="1">
        <f>0.2*(($D$10^2)/(2*$R$1))</f>
        <v>6.0452793878779318E-3</v>
      </c>
      <c r="M8" s="1">
        <f>1*(($D$10^2)/(2*$R$1))</f>
        <v>3.0226396939389659E-2</v>
      </c>
    </row>
    <row r="9" spans="1:18" x14ac:dyDescent="0.3">
      <c r="A9" s="3">
        <v>8</v>
      </c>
      <c r="B9" s="1">
        <f>13.2*10^-3</f>
        <v>1.32E-2</v>
      </c>
      <c r="C9" s="1">
        <f>0.3*(1/3600)</f>
        <v>8.3333333333333331E-5</v>
      </c>
      <c r="D9" s="6">
        <f t="shared" si="3"/>
        <v>0.60894912416550107</v>
      </c>
      <c r="E9" s="5">
        <f t="shared" si="0"/>
        <v>14518.887861582412</v>
      </c>
      <c r="F9" s="1">
        <f t="shared" si="4"/>
        <v>2.7949386731929964E-2</v>
      </c>
      <c r="K9" s="2" t="s">
        <v>10</v>
      </c>
      <c r="L9" s="2" t="s">
        <v>32</v>
      </c>
    </row>
    <row r="10" spans="1:18" x14ac:dyDescent="0.3">
      <c r="A10" s="3">
        <v>9</v>
      </c>
      <c r="B10" s="1">
        <f>16.6*10^-3</f>
        <v>1.66E-2</v>
      </c>
      <c r="C10" s="1">
        <f>0.6*(1/3600)</f>
        <v>1.6666666666666666E-4</v>
      </c>
      <c r="D10" s="6">
        <f t="shared" si="3"/>
        <v>0.77009214250687241</v>
      </c>
      <c r="E10" s="5">
        <f t="shared" si="0"/>
        <v>23090.27949070937</v>
      </c>
      <c r="F10" s="1">
        <f t="shared" si="4"/>
        <v>2.4845069751798326E-2</v>
      </c>
      <c r="K10" s="1" t="s">
        <v>9</v>
      </c>
      <c r="L10" s="1">
        <f>7*((D13^2)/(2*$R$1))</f>
        <v>0.13230036955930252</v>
      </c>
    </row>
    <row r="11" spans="1:18" x14ac:dyDescent="0.3">
      <c r="A11" s="3">
        <v>10</v>
      </c>
      <c r="B11" s="1">
        <f>13.2*10^-3</f>
        <v>1.32E-2</v>
      </c>
      <c r="C11" s="1">
        <f>0.3*(1/3600)</f>
        <v>8.3333333333333331E-5</v>
      </c>
      <c r="D11" s="6">
        <f t="shared" si="3"/>
        <v>0.60894912416550107</v>
      </c>
      <c r="E11" s="5">
        <f t="shared" si="0"/>
        <v>14518.887861582412</v>
      </c>
      <c r="F11" s="1">
        <f t="shared" si="4"/>
        <v>2.7949386731929964E-2</v>
      </c>
    </row>
    <row r="12" spans="1:18" x14ac:dyDescent="0.3">
      <c r="A12" s="3">
        <v>11</v>
      </c>
      <c r="B12" s="1">
        <f>13.2*10^-3</f>
        <v>1.32E-2</v>
      </c>
      <c r="C12" s="1">
        <f t="shared" ref="C12:C13" si="5">0.3*(1/3600)</f>
        <v>8.3333333333333331E-5</v>
      </c>
      <c r="D12" s="6">
        <f t="shared" si="3"/>
        <v>0.60894912416550107</v>
      </c>
      <c r="E12" s="5">
        <f t="shared" si="0"/>
        <v>14518.887861582412</v>
      </c>
      <c r="F12" s="1">
        <f t="shared" si="4"/>
        <v>2.7949386731929964E-2</v>
      </c>
    </row>
    <row r="13" spans="1:18" x14ac:dyDescent="0.3">
      <c r="A13" s="3">
        <v>12</v>
      </c>
      <c r="B13" s="1">
        <f>13.2*10^-3</f>
        <v>1.32E-2</v>
      </c>
      <c r="C13" s="1">
        <f t="shared" si="5"/>
        <v>8.3333333333333331E-5</v>
      </c>
      <c r="D13" s="6">
        <f t="shared" si="3"/>
        <v>0.60894912416550107</v>
      </c>
      <c r="E13" s="5">
        <f t="shared" si="0"/>
        <v>14518.887861582412</v>
      </c>
      <c r="F13" s="1">
        <f t="shared" si="4"/>
        <v>2.7949386731929964E-2</v>
      </c>
    </row>
    <row r="14" spans="1:18" x14ac:dyDescent="0.3">
      <c r="I14" s="2" t="s">
        <v>12</v>
      </c>
      <c r="J14" s="2" t="s">
        <v>19</v>
      </c>
      <c r="K14" s="2" t="s">
        <v>20</v>
      </c>
      <c r="L14" s="2" t="s">
        <v>17</v>
      </c>
      <c r="M14" s="2" t="s">
        <v>18</v>
      </c>
    </row>
    <row r="15" spans="1:18" x14ac:dyDescent="0.3">
      <c r="I15" s="1" t="s">
        <v>13</v>
      </c>
      <c r="J15" s="9">
        <f>2*L8+2*J7+2*L3+J8+L10</f>
        <v>0.83604634194916128</v>
      </c>
      <c r="K15" s="9">
        <f>2*M8+J8+L10</f>
        <v>0.5929386822249002</v>
      </c>
      <c r="L15" s="9">
        <f>J15-K15</f>
        <v>0.24310765972426107</v>
      </c>
      <c r="M15" s="9">
        <f>(L15*2*$R$1)/($D$13^2)</f>
        <v>12.862803208626193</v>
      </c>
    </row>
    <row r="16" spans="1:18" x14ac:dyDescent="0.3">
      <c r="I16" s="1" t="s">
        <v>14</v>
      </c>
      <c r="J16" s="9">
        <f>2*M8+2*J6+L10+J8+2*L7+L15</f>
        <v>1.1629496477820092</v>
      </c>
      <c r="K16" s="9">
        <f>2*M7+L10+J8</f>
        <v>0.58361730241013177</v>
      </c>
      <c r="L16" s="9">
        <f>J16-K16</f>
        <v>0.57933234537187739</v>
      </c>
      <c r="M16" s="9">
        <f>(L16*2*$R$1)/($D$13^2)</f>
        <v>30.652419423404378</v>
      </c>
    </row>
    <row r="17" spans="9:13" x14ac:dyDescent="0.3">
      <c r="I17" s="1" t="s">
        <v>15</v>
      </c>
      <c r="J17" s="9">
        <f>2*M7+2*J5+L10+J8+2*L6+L16</f>
        <v>1.3719410764618161</v>
      </c>
      <c r="K17" s="9">
        <f>2*M6+L10+J8</f>
        <v>0.56916190606927519</v>
      </c>
      <c r="L17" s="9">
        <f>J17-K17</f>
        <v>0.80277917039254088</v>
      </c>
      <c r="M17" s="9">
        <f>(L17*2*$R$1)/($D$13^2)</f>
        <v>42.474969733390751</v>
      </c>
    </row>
    <row r="18" spans="9:13" x14ac:dyDescent="0.3">
      <c r="I18" s="1" t="s">
        <v>16</v>
      </c>
      <c r="J18" s="9">
        <f>2*L5+2*M6+2*J4+L10+J8+L17</f>
        <v>1.6635321951510746</v>
      </c>
      <c r="K18" s="9">
        <f>2*M5+L10+J8</f>
        <v>0.58979216603854956</v>
      </c>
      <c r="L18" s="9">
        <f>J18-K18</f>
        <v>1.0737400291125252</v>
      </c>
      <c r="M18" s="9">
        <f>(L18*2*$R$1)/($D$13^2)</f>
        <v>56.811483058016798</v>
      </c>
    </row>
    <row r="20" spans="9:13" x14ac:dyDescent="0.3">
      <c r="K20" s="19" t="s">
        <v>21</v>
      </c>
      <c r="L20" s="19"/>
      <c r="M20" t="s">
        <v>22</v>
      </c>
    </row>
    <row r="21" spans="9:13" x14ac:dyDescent="0.3">
      <c r="K21" s="1" t="s">
        <v>11</v>
      </c>
      <c r="L21" s="1">
        <f>5*J8+5*L10+2*L3+2*L2+2*L5+2*L6+2*L7+2*L8+2*M5+2*M6+2*M7+2*M8+J2+2*J3+2*J4+2*J5+2*J6+2*J7+L15+L16+L17+L18</f>
        <v>7.1962718888119976</v>
      </c>
      <c r="M21" t="s">
        <v>23</v>
      </c>
    </row>
    <row r="22" spans="9:13" x14ac:dyDescent="0.3">
      <c r="K22" t="s">
        <v>24</v>
      </c>
      <c r="L22">
        <f>L21*R1*R3*C2</f>
        <v>29.062372504599722</v>
      </c>
      <c r="M22" t="s">
        <v>25</v>
      </c>
    </row>
    <row r="67" spans="1:6" x14ac:dyDescent="0.3">
      <c r="A67" s="4" t="s">
        <v>3</v>
      </c>
      <c r="B67" s="2" t="s">
        <v>27</v>
      </c>
      <c r="C67" s="2" t="s">
        <v>28</v>
      </c>
      <c r="D67" s="2" t="s">
        <v>29</v>
      </c>
      <c r="E67" s="2" t="s">
        <v>4</v>
      </c>
      <c r="F67" s="2" t="s">
        <v>5</v>
      </c>
    </row>
    <row r="68" spans="1:6" x14ac:dyDescent="0.3">
      <c r="A68" s="3">
        <v>1</v>
      </c>
      <c r="B68" s="1">
        <f t="shared" ref="B68:B69" si="6">26.6*10^-3</f>
        <v>2.6600000000000002E-2</v>
      </c>
      <c r="C68" s="18">
        <f t="shared" ref="C68:C69" si="7">1.5*(1/3600)</f>
        <v>4.1666666666666664E-4</v>
      </c>
      <c r="D68" s="6">
        <f t="shared" ref="D68:D78" si="8">C68/(PI()*(B68/2)^2)</f>
        <v>0.74978302472296965</v>
      </c>
      <c r="E68" s="5">
        <f t="shared" ref="E68:E78" si="9">($R$3*D68*B68)/$R$2</f>
        <v>36024.308227986432</v>
      </c>
      <c r="F68" s="17">
        <f t="shared" ref="F68:F78" si="10">(1/(-1.8*LOG10(((0/3.7)^1.1)+(6.9/E68))))^2</f>
        <v>2.2330344805022304E-2</v>
      </c>
    </row>
    <row r="69" spans="1:6" x14ac:dyDescent="0.3">
      <c r="A69" s="3">
        <v>2</v>
      </c>
      <c r="B69" s="1">
        <f t="shared" si="6"/>
        <v>2.6600000000000002E-2</v>
      </c>
      <c r="C69" s="18">
        <f t="shared" si="7"/>
        <v>4.1666666666666664E-4</v>
      </c>
      <c r="D69" s="6">
        <f t="shared" si="8"/>
        <v>0.74978302472296965</v>
      </c>
      <c r="E69" s="5">
        <f t="shared" si="9"/>
        <v>36024.308227986432</v>
      </c>
      <c r="F69" s="17">
        <f t="shared" si="10"/>
        <v>2.2330344805022304E-2</v>
      </c>
    </row>
    <row r="70" spans="1:6" x14ac:dyDescent="0.3">
      <c r="A70" s="3">
        <v>3</v>
      </c>
      <c r="B70" s="1">
        <f>13.2*10^-3</f>
        <v>1.32E-2</v>
      </c>
      <c r="C70" s="18">
        <f>0.3*(1/3600)</f>
        <v>8.3333333333333331E-5</v>
      </c>
      <c r="D70" s="6">
        <f t="shared" si="8"/>
        <v>0.60894912416550107</v>
      </c>
      <c r="E70" s="5">
        <f t="shared" si="9"/>
        <v>14518.887861582412</v>
      </c>
      <c r="F70" s="17">
        <f t="shared" si="10"/>
        <v>2.7949386731929964E-2</v>
      </c>
    </row>
    <row r="71" spans="1:6" x14ac:dyDescent="0.3">
      <c r="A71" s="3">
        <v>4</v>
      </c>
      <c r="B71" s="1">
        <f>26.6*10^-3</f>
        <v>2.6600000000000002E-2</v>
      </c>
      <c r="C71" s="18">
        <f>1.2*(1/3600)</f>
        <v>3.3333333333333332E-4</v>
      </c>
      <c r="D71" s="6">
        <f t="shared" si="8"/>
        <v>0.59982641977837581</v>
      </c>
      <c r="E71" s="5">
        <f t="shared" si="9"/>
        <v>28819.446582389148</v>
      </c>
      <c r="F71" s="17">
        <f t="shared" si="10"/>
        <v>2.3541663604700488E-2</v>
      </c>
    </row>
    <row r="72" spans="1:6" x14ac:dyDescent="0.3">
      <c r="A72" s="3">
        <v>5</v>
      </c>
      <c r="B72" s="1">
        <f>13.2*10^-3</f>
        <v>1.32E-2</v>
      </c>
      <c r="C72" s="18">
        <f>0.3*(1/3600)</f>
        <v>8.3333333333333331E-5</v>
      </c>
      <c r="D72" s="6">
        <f t="shared" si="8"/>
        <v>0.60894912416550107</v>
      </c>
      <c r="E72" s="5">
        <f t="shared" si="9"/>
        <v>14518.887861582412</v>
      </c>
      <c r="F72" s="17">
        <f t="shared" si="10"/>
        <v>2.7949386731929964E-2</v>
      </c>
    </row>
    <row r="73" spans="1:6" x14ac:dyDescent="0.3">
      <c r="A73" s="3">
        <v>6</v>
      </c>
      <c r="B73" s="1">
        <f>21.2*10^-3</f>
        <v>2.12E-2</v>
      </c>
      <c r="C73" s="18">
        <f>0.9*(1/3600)</f>
        <v>2.5000000000000001E-4</v>
      </c>
      <c r="D73" s="6">
        <f t="shared" si="8"/>
        <v>0.70823666381227901</v>
      </c>
      <c r="E73" s="5">
        <f t="shared" si="9"/>
        <v>27120.186760314311</v>
      </c>
      <c r="F73" s="17">
        <f t="shared" si="10"/>
        <v>2.3888652133633326E-2</v>
      </c>
    </row>
    <row r="74" spans="1:6" x14ac:dyDescent="0.3">
      <c r="A74" s="3">
        <v>7</v>
      </c>
      <c r="B74" s="1">
        <f>13.2*10^-3</f>
        <v>1.32E-2</v>
      </c>
      <c r="C74" s="18">
        <f>0.3*(1/3600)</f>
        <v>8.3333333333333331E-5</v>
      </c>
      <c r="D74" s="6">
        <f t="shared" si="8"/>
        <v>0.60894912416550107</v>
      </c>
      <c r="E74" s="5">
        <f t="shared" si="9"/>
        <v>14518.887861582412</v>
      </c>
      <c r="F74" s="17">
        <f t="shared" si="10"/>
        <v>2.7949386731929964E-2</v>
      </c>
    </row>
    <row r="75" spans="1:6" x14ac:dyDescent="0.3">
      <c r="A75" s="3">
        <v>8</v>
      </c>
      <c r="B75" s="1">
        <f>16.6*10^-3</f>
        <v>1.66E-2</v>
      </c>
      <c r="C75" s="18">
        <f>0.6*(1/3600)</f>
        <v>1.6666666666666666E-4</v>
      </c>
      <c r="D75" s="6">
        <f t="shared" si="8"/>
        <v>0.77009214250687241</v>
      </c>
      <c r="E75" s="5">
        <f t="shared" si="9"/>
        <v>23090.27949070937</v>
      </c>
      <c r="F75" s="17">
        <f t="shared" si="10"/>
        <v>2.4845069751798326E-2</v>
      </c>
    </row>
    <row r="76" spans="1:6" x14ac:dyDescent="0.3">
      <c r="A76" s="3">
        <v>9</v>
      </c>
      <c r="B76" s="1">
        <f>13.2*10^-3</f>
        <v>1.32E-2</v>
      </c>
      <c r="C76" s="18">
        <f>0.3*(1/3600)</f>
        <v>8.3333333333333331E-5</v>
      </c>
      <c r="D76" s="6">
        <f t="shared" si="8"/>
        <v>0.60894912416550107</v>
      </c>
      <c r="E76" s="5">
        <f t="shared" si="9"/>
        <v>14518.887861582412</v>
      </c>
      <c r="F76" s="17">
        <f t="shared" si="10"/>
        <v>2.7949386731929964E-2</v>
      </c>
    </row>
    <row r="77" spans="1:6" x14ac:dyDescent="0.3">
      <c r="A77" s="3">
        <v>10</v>
      </c>
      <c r="B77" s="1">
        <f>13.2*10^-3</f>
        <v>1.32E-2</v>
      </c>
      <c r="C77" s="18">
        <f t="shared" ref="C77:C78" si="11">0.3*(1/3600)</f>
        <v>8.3333333333333331E-5</v>
      </c>
      <c r="D77" s="6">
        <f t="shared" si="8"/>
        <v>0.60894912416550107</v>
      </c>
      <c r="E77" s="5">
        <f t="shared" si="9"/>
        <v>14518.887861582412</v>
      </c>
      <c r="F77" s="17">
        <f t="shared" si="10"/>
        <v>2.7949386731929964E-2</v>
      </c>
    </row>
    <row r="78" spans="1:6" x14ac:dyDescent="0.3">
      <c r="A78" s="3">
        <v>11</v>
      </c>
      <c r="B78" s="1">
        <f>13.2*10^-3</f>
        <v>1.32E-2</v>
      </c>
      <c r="C78" s="18">
        <f t="shared" si="11"/>
        <v>8.3333333333333331E-5</v>
      </c>
      <c r="D78" s="6">
        <f t="shared" si="8"/>
        <v>0.60894912416550107</v>
      </c>
      <c r="E78" s="5">
        <f t="shared" si="9"/>
        <v>14518.887861582412</v>
      </c>
      <c r="F78" s="17">
        <f t="shared" si="10"/>
        <v>2.7949386731929964E-2</v>
      </c>
    </row>
  </sheetData>
  <mergeCells count="1">
    <mergeCell ref="K20:L20"/>
  </mergeCells>
  <hyperlinks>
    <hyperlink ref="O5" r:id="rId1" display="https://pompatech.com.tr/" xr:uid="{0C74D5AD-7AFF-4633-A83C-EA27732B5436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Murat Taha YEMİŞÇİ</dc:creator>
  <cp:lastModifiedBy>Murat Taha Yemişçi</cp:lastModifiedBy>
  <dcterms:created xsi:type="dcterms:W3CDTF">2015-06-05T18:19:34Z</dcterms:created>
  <dcterms:modified xsi:type="dcterms:W3CDTF">2025-01-05T10:37:24Z</dcterms:modified>
</cp:coreProperties>
</file>